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esktop/"/>
    </mc:Choice>
  </mc:AlternateContent>
  <xr:revisionPtr revIDLastSave="0" documentId="13_ncr:1_{19DF99A5-5422-B947-AAA6-2DF1077B4EA9}" xr6:coauthVersionLast="47" xr6:coauthVersionMax="47" xr10:uidLastSave="{00000000-0000-0000-0000-000000000000}"/>
  <bookViews>
    <workbookView xWindow="80" yWindow="780" windowWidth="21760" windowHeight="17660" xr2:uid="{1AF0830E-468B-C645-9285-6FA1768ED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C42" i="1"/>
  <c r="C43" i="1"/>
  <c r="C41" i="1"/>
  <c r="L59" i="1"/>
  <c r="L47" i="1"/>
  <c r="L46" i="1"/>
  <c r="L45" i="1"/>
  <c r="L44" i="1"/>
  <c r="L40" i="1"/>
  <c r="L39" i="1"/>
  <c r="L36" i="1"/>
  <c r="E35" i="1"/>
  <c r="C29" i="1"/>
  <c r="C30" i="1"/>
  <c r="C31" i="1"/>
  <c r="C32" i="1"/>
  <c r="C33" i="1"/>
  <c r="C25" i="1"/>
  <c r="C24" i="1"/>
  <c r="C21" i="1"/>
  <c r="L17" i="1"/>
  <c r="C16" i="1"/>
  <c r="C3" i="1"/>
  <c r="C11" i="1"/>
  <c r="C10" i="1"/>
  <c r="C9" i="1"/>
  <c r="C50" i="1" l="1"/>
  <c r="C35" i="1"/>
  <c r="C37" i="1" s="1"/>
</calcChain>
</file>

<file path=xl/sharedStrings.xml><?xml version="1.0" encoding="utf-8"?>
<sst xmlns="http://schemas.openxmlformats.org/spreadsheetml/2006/main" count="122" uniqueCount="60">
  <si>
    <t>ISIDOR Time sheet</t>
  </si>
  <si>
    <t>GBP</t>
  </si>
  <si>
    <t>Task</t>
  </si>
  <si>
    <t>11th Feb</t>
  </si>
  <si>
    <t>13th Feb</t>
  </si>
  <si>
    <t>Pay rate</t>
  </si>
  <si>
    <t>Hours</t>
  </si>
  <si>
    <t>11:00-18:00</t>
  </si>
  <si>
    <t>14th feb</t>
  </si>
  <si>
    <t>15th feb</t>
  </si>
  <si>
    <t>16th feb</t>
  </si>
  <si>
    <t>17th feb</t>
  </si>
  <si>
    <t>18th feb</t>
  </si>
  <si>
    <t>Thursday 19th feb</t>
  </si>
  <si>
    <t>Friday 20th feb</t>
  </si>
  <si>
    <t>Saturday 21</t>
  </si>
  <si>
    <t>Sunday 22</t>
  </si>
  <si>
    <t>Monday 23</t>
  </si>
  <si>
    <t>Tuesday 24</t>
  </si>
  <si>
    <t>Wednesday 25</t>
  </si>
  <si>
    <t>Thursday 26</t>
  </si>
  <si>
    <t xml:space="preserve">Friday 27 </t>
  </si>
  <si>
    <t>10:00-18:00</t>
  </si>
  <si>
    <t>11:00-17:00</t>
  </si>
  <si>
    <t>11:30-18:00</t>
  </si>
  <si>
    <t>10:30-18:00</t>
  </si>
  <si>
    <t>Total for 2 weeks</t>
  </si>
  <si>
    <t>Payment in progress</t>
  </si>
  <si>
    <t>10:30-17:00</t>
  </si>
  <si>
    <t>Next pay cycle</t>
  </si>
  <si>
    <t>SKI TRIP</t>
  </si>
  <si>
    <t>Monday 9th March</t>
  </si>
  <si>
    <t>Tuesday 10th</t>
  </si>
  <si>
    <t>Wednesday 11th</t>
  </si>
  <si>
    <t>Thursday 12th</t>
  </si>
  <si>
    <t>Friday 13th</t>
  </si>
  <si>
    <t>Subscriptions</t>
  </si>
  <si>
    <t>CHATGPT</t>
  </si>
  <si>
    <t>CLAUDE</t>
  </si>
  <si>
    <t>API</t>
  </si>
  <si>
    <t>SUB</t>
  </si>
  <si>
    <t>total</t>
  </si>
  <si>
    <t>Monday 16th March</t>
  </si>
  <si>
    <t>Tuesday 17th</t>
  </si>
  <si>
    <t>Wednesday 18th</t>
  </si>
  <si>
    <t>Thursday 19th</t>
  </si>
  <si>
    <t>Friday 20th</t>
  </si>
  <si>
    <t>10:00-17:00</t>
  </si>
  <si>
    <t>Monday 23rd</t>
  </si>
  <si>
    <t>Tuesday 24th</t>
  </si>
  <si>
    <t>Wednesday 25th</t>
  </si>
  <si>
    <t>Thursday 26th</t>
  </si>
  <si>
    <t>Friday 27th</t>
  </si>
  <si>
    <t>Monday 30th</t>
  </si>
  <si>
    <t>Tuesday 31st</t>
  </si>
  <si>
    <t>Wednesday 1st</t>
  </si>
  <si>
    <t>Thursday 2nd</t>
  </si>
  <si>
    <t>Friday 3rd</t>
  </si>
  <si>
    <t>Thursday 26th Feb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</si>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</sst>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Fill="1"/>
    <xf numFmtId="0" fontId="1" fillId="0" borderId="0" xfId="0" applyFont="1" applyFill="1"/>
    <xf numFmtId="0" fontId="0" fillId="2" borderId="0" xfId="0" applyFill="1"/>
    <xf numFmtId="2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94BF-55D6-2D43-9451-96EB04C649C4}">
  <dimension ref="A1:N59"/>
  <sheetViews>
    <sheetView tabSelected="1" topLeftCell="A30" zoomScale="135" workbookViewId="0">
      <selection activeCell="C52" sqref="C52"/>
    </sheetView>
  </sheetViews>
  <sheetFormatPr baseColWidth="10" defaultRowHeight="16" x14ac:dyDescent="0.2"/>
  <cols>
    <col min="1" max="1" width="28" customWidth="1"/>
    <col min="10" max="10" width="18.33203125" customWidth="1"/>
  </cols>
  <sheetData>
    <row r="1" spans="1:12" x14ac:dyDescent="0.2">
      <c r="A1" t="s">
        <v>0</v>
      </c>
      <c r="B1" t="s">
        <v>2</v>
      </c>
      <c r="C1" t="s">
        <v>1</v>
      </c>
      <c r="D1" t="s">
        <v>5</v>
      </c>
      <c r="E1" t="s">
        <v>6</v>
      </c>
      <c r="J1" t="s">
        <v>0</v>
      </c>
      <c r="K1" t="s">
        <v>2</v>
      </c>
      <c r="L1" t="s">
        <v>6</v>
      </c>
    </row>
    <row r="3" spans="1:12" x14ac:dyDescent="0.2">
      <c r="A3" s="4" t="s">
        <v>3</v>
      </c>
      <c r="B3" s="4" t="s">
        <v>24</v>
      </c>
      <c r="C3" s="5">
        <f>D3*E3</f>
        <v>227.5</v>
      </c>
      <c r="D3" s="4">
        <v>35</v>
      </c>
      <c r="E3" s="5">
        <v>6.5</v>
      </c>
      <c r="G3" s="4"/>
      <c r="H3" t="s">
        <v>27</v>
      </c>
      <c r="J3" t="s">
        <v>3</v>
      </c>
      <c r="K3" s="2" t="s">
        <v>24</v>
      </c>
      <c r="L3" s="1">
        <v>6.5</v>
      </c>
    </row>
    <row r="4" spans="1:12" x14ac:dyDescent="0.2">
      <c r="A4" s="4" t="s">
        <v>4</v>
      </c>
      <c r="B4" s="4" t="s">
        <v>7</v>
      </c>
      <c r="C4" s="4">
        <v>245</v>
      </c>
      <c r="D4" s="4">
        <v>35</v>
      </c>
      <c r="E4" s="4">
        <v>7</v>
      </c>
      <c r="J4" t="s">
        <v>4</v>
      </c>
      <c r="K4" s="2" t="s">
        <v>7</v>
      </c>
      <c r="L4">
        <v>7</v>
      </c>
    </row>
    <row r="5" spans="1:12" x14ac:dyDescent="0.2">
      <c r="A5" s="4" t="s">
        <v>8</v>
      </c>
      <c r="B5" s="6"/>
      <c r="C5" s="6"/>
      <c r="D5" s="4">
        <v>35</v>
      </c>
      <c r="E5" s="4"/>
      <c r="J5" t="s">
        <v>8</v>
      </c>
      <c r="K5" s="3"/>
    </row>
    <row r="6" spans="1:12" x14ac:dyDescent="0.2">
      <c r="A6" s="4" t="s">
        <v>9</v>
      </c>
      <c r="B6" s="6"/>
      <c r="C6" s="6"/>
      <c r="D6" s="4">
        <v>35</v>
      </c>
      <c r="E6" s="4"/>
      <c r="J6" t="s">
        <v>9</v>
      </c>
      <c r="K6" s="3"/>
    </row>
    <row r="7" spans="1:12" x14ac:dyDescent="0.2">
      <c r="A7" s="4" t="s">
        <v>10</v>
      </c>
      <c r="B7" s="6"/>
      <c r="C7" s="6"/>
      <c r="D7" s="4">
        <v>35</v>
      </c>
      <c r="E7" s="4"/>
      <c r="J7" t="s">
        <v>10</v>
      </c>
      <c r="K7" s="3"/>
    </row>
    <row r="8" spans="1:12" x14ac:dyDescent="0.2">
      <c r="A8" s="4" t="s">
        <v>11</v>
      </c>
      <c r="B8" s="6"/>
      <c r="C8" s="6"/>
      <c r="D8" s="4">
        <v>35</v>
      </c>
      <c r="E8" s="4"/>
      <c r="J8" t="s">
        <v>11</v>
      </c>
      <c r="K8" s="3"/>
    </row>
    <row r="9" spans="1:12" x14ac:dyDescent="0.2">
      <c r="A9" s="4" t="s">
        <v>12</v>
      </c>
      <c r="B9" s="4" t="s">
        <v>22</v>
      </c>
      <c r="C9" s="4">
        <f>D9*E9</f>
        <v>280</v>
      </c>
      <c r="D9" s="4">
        <v>35</v>
      </c>
      <c r="E9" s="4">
        <v>8</v>
      </c>
      <c r="J9" t="s">
        <v>12</v>
      </c>
      <c r="K9" s="2" t="s">
        <v>22</v>
      </c>
      <c r="L9">
        <v>8</v>
      </c>
    </row>
    <row r="10" spans="1:12" x14ac:dyDescent="0.2">
      <c r="A10" s="4" t="s">
        <v>13</v>
      </c>
      <c r="B10" s="4" t="s">
        <v>23</v>
      </c>
      <c r="C10" s="4">
        <f>D10*E10</f>
        <v>210</v>
      </c>
      <c r="D10" s="4">
        <v>35</v>
      </c>
      <c r="E10" s="4">
        <v>6</v>
      </c>
      <c r="J10" t="s">
        <v>13</v>
      </c>
      <c r="K10" s="2" t="s">
        <v>23</v>
      </c>
      <c r="L10">
        <v>6</v>
      </c>
    </row>
    <row r="11" spans="1:12" x14ac:dyDescent="0.2">
      <c r="A11" s="4" t="s">
        <v>14</v>
      </c>
      <c r="B11" s="4" t="s">
        <v>25</v>
      </c>
      <c r="C11" s="4">
        <f>D11*E11</f>
        <v>262.5</v>
      </c>
      <c r="D11" s="4">
        <v>35</v>
      </c>
      <c r="E11" s="4">
        <v>7.5</v>
      </c>
      <c r="J11" t="s">
        <v>14</v>
      </c>
      <c r="K11" s="2" t="s">
        <v>25</v>
      </c>
      <c r="L11">
        <v>7.5</v>
      </c>
    </row>
    <row r="12" spans="1:12" x14ac:dyDescent="0.2">
      <c r="A12" s="4" t="s">
        <v>15</v>
      </c>
      <c r="B12" s="4"/>
      <c r="C12" s="4"/>
      <c r="D12" s="4">
        <v>35</v>
      </c>
      <c r="E12" s="4"/>
      <c r="J12" t="s">
        <v>15</v>
      </c>
    </row>
    <row r="13" spans="1:12" x14ac:dyDescent="0.2">
      <c r="A13" s="4" t="s">
        <v>16</v>
      </c>
      <c r="B13" s="4"/>
      <c r="C13" s="4"/>
      <c r="D13" s="4">
        <v>35</v>
      </c>
      <c r="E13" s="4"/>
      <c r="J13" t="s">
        <v>16</v>
      </c>
    </row>
    <row r="14" spans="1:12" x14ac:dyDescent="0.2">
      <c r="A14" s="4" t="s">
        <v>17</v>
      </c>
      <c r="B14" s="4"/>
      <c r="C14" s="4"/>
      <c r="D14" s="4">
        <v>35</v>
      </c>
      <c r="E14" s="4"/>
      <c r="J14" t="s">
        <v>17</v>
      </c>
    </row>
    <row r="15" spans="1:12" x14ac:dyDescent="0.2">
      <c r="A15" s="4" t="s">
        <v>18</v>
      </c>
      <c r="B15" s="4"/>
      <c r="C15" s="4"/>
      <c r="D15" s="4">
        <v>35</v>
      </c>
      <c r="E15" s="4"/>
      <c r="J15" t="s">
        <v>18</v>
      </c>
    </row>
    <row r="16" spans="1:12" x14ac:dyDescent="0.2">
      <c r="A16" s="4" t="s">
        <v>19</v>
      </c>
      <c r="B16" s="4" t="s">
        <v>7</v>
      </c>
      <c r="C16" s="4">
        <f>D17*E17</f>
        <v>245</v>
      </c>
      <c r="D16" s="4">
        <v>35</v>
      </c>
      <c r="E16" s="4"/>
      <c r="J16" t="s">
        <v>19</v>
      </c>
      <c r="K16" t="s">
        <v>7</v>
      </c>
      <c r="L16">
        <v>7</v>
      </c>
    </row>
    <row r="17" spans="1:12" x14ac:dyDescent="0.2">
      <c r="A17" s="4" t="s">
        <v>26</v>
      </c>
      <c r="B17" s="4"/>
      <c r="C17" s="4"/>
      <c r="D17" s="4">
        <v>35</v>
      </c>
      <c r="E17" s="4">
        <v>7</v>
      </c>
      <c r="J17" t="s">
        <v>26</v>
      </c>
      <c r="L17" s="1">
        <f>SUM(L3:L16)</f>
        <v>42</v>
      </c>
    </row>
    <row r="20" spans="1:12" x14ac:dyDescent="0.2">
      <c r="A20" s="2" t="s">
        <v>29</v>
      </c>
    </row>
    <row r="21" spans="1:12" x14ac:dyDescent="0.2">
      <c r="A21" s="4" t="s">
        <v>20</v>
      </c>
      <c r="B21" s="4" t="s">
        <v>25</v>
      </c>
      <c r="C21" s="4">
        <f>D21*E21</f>
        <v>262.5</v>
      </c>
      <c r="D21" s="4">
        <v>35</v>
      </c>
      <c r="E21" s="4">
        <v>7.5</v>
      </c>
    </row>
    <row r="22" spans="1:12" x14ac:dyDescent="0.2">
      <c r="A22" s="4" t="s">
        <v>21</v>
      </c>
      <c r="B22" s="4"/>
      <c r="C22" s="4"/>
      <c r="D22" s="4">
        <v>35</v>
      </c>
      <c r="E22" s="4"/>
    </row>
    <row r="23" spans="1:12" x14ac:dyDescent="0.2">
      <c r="A23" s="4" t="s">
        <v>30</v>
      </c>
      <c r="B23" s="4"/>
      <c r="C23" s="4"/>
      <c r="D23" s="4"/>
      <c r="E23" s="4"/>
    </row>
    <row r="24" spans="1:12" x14ac:dyDescent="0.2">
      <c r="A24" s="4" t="s">
        <v>31</v>
      </c>
      <c r="B24" s="4" t="s">
        <v>22</v>
      </c>
      <c r="C24" s="4">
        <f>D24*E24</f>
        <v>280</v>
      </c>
      <c r="D24" s="4">
        <v>35</v>
      </c>
      <c r="E24" s="4">
        <v>8</v>
      </c>
      <c r="J24" t="s">
        <v>40</v>
      </c>
      <c r="K24" t="s">
        <v>39</v>
      </c>
    </row>
    <row r="25" spans="1:12" x14ac:dyDescent="0.2">
      <c r="A25" s="4" t="s">
        <v>32</v>
      </c>
      <c r="B25" s="4" t="s">
        <v>22</v>
      </c>
      <c r="C25" s="4">
        <f t="shared" ref="C25:C33" si="0">D25*E25</f>
        <v>280</v>
      </c>
      <c r="D25" s="4">
        <v>35</v>
      </c>
      <c r="E25" s="4">
        <v>8</v>
      </c>
      <c r="H25" t="s">
        <v>36</v>
      </c>
      <c r="I25" t="s">
        <v>37</v>
      </c>
      <c r="J25">
        <v>20</v>
      </c>
      <c r="K25">
        <v>10</v>
      </c>
    </row>
    <row r="26" spans="1:12" x14ac:dyDescent="0.2">
      <c r="A26" s="4" t="s">
        <v>33</v>
      </c>
      <c r="B26" s="4"/>
      <c r="C26" s="4"/>
      <c r="D26" s="4"/>
      <c r="E26" s="4"/>
      <c r="I26" t="s">
        <v>38</v>
      </c>
      <c r="J26">
        <v>18</v>
      </c>
      <c r="K26">
        <v>20</v>
      </c>
    </row>
    <row r="27" spans="1:12" x14ac:dyDescent="0.2">
      <c r="A27" s="4" t="s">
        <v>34</v>
      </c>
      <c r="B27" s="4"/>
      <c r="C27" s="4"/>
      <c r="D27" s="4"/>
      <c r="E27" s="4"/>
      <c r="I27" t="s">
        <v>41</v>
      </c>
      <c r="J27">
        <v>38</v>
      </c>
      <c r="K27">
        <v>30</v>
      </c>
    </row>
    <row r="28" spans="1:12" x14ac:dyDescent="0.2">
      <c r="A28" s="4" t="s">
        <v>35</v>
      </c>
      <c r="B28" s="4"/>
      <c r="C28" s="4"/>
      <c r="D28" s="4"/>
      <c r="E28" s="4"/>
      <c r="K28">
        <v>68</v>
      </c>
    </row>
    <row r="29" spans="1:12" x14ac:dyDescent="0.2">
      <c r="A29" s="4" t="s">
        <v>42</v>
      </c>
      <c r="B29" s="4" t="s">
        <v>22</v>
      </c>
      <c r="C29" s="4">
        <f t="shared" si="0"/>
        <v>280</v>
      </c>
      <c r="D29" s="4">
        <v>35</v>
      </c>
      <c r="E29" s="4">
        <v>8</v>
      </c>
    </row>
    <row r="30" spans="1:12" x14ac:dyDescent="0.2">
      <c r="A30" s="4" t="s">
        <v>43</v>
      </c>
      <c r="B30" s="4" t="s">
        <v>7</v>
      </c>
      <c r="C30" s="4">
        <f t="shared" si="0"/>
        <v>245</v>
      </c>
      <c r="D30" s="4">
        <v>35</v>
      </c>
      <c r="E30" s="4">
        <v>7</v>
      </c>
    </row>
    <row r="31" spans="1:12" x14ac:dyDescent="0.2">
      <c r="A31" s="4" t="s">
        <v>44</v>
      </c>
      <c r="B31" s="4"/>
      <c r="C31" s="4">
        <f t="shared" si="0"/>
        <v>0</v>
      </c>
      <c r="D31" s="4">
        <v>35</v>
      </c>
      <c r="E31" s="4">
        <v>0</v>
      </c>
    </row>
    <row r="32" spans="1:12" x14ac:dyDescent="0.2">
      <c r="A32" s="4" t="s">
        <v>45</v>
      </c>
      <c r="B32" s="4" t="s">
        <v>47</v>
      </c>
      <c r="C32" s="4">
        <f t="shared" si="0"/>
        <v>245</v>
      </c>
      <c r="D32" s="4">
        <v>35</v>
      </c>
      <c r="E32" s="4">
        <v>7</v>
      </c>
    </row>
    <row r="33" spans="1:14" x14ac:dyDescent="0.2">
      <c r="A33" t="s">
        <v>46</v>
      </c>
      <c r="B33" s="4" t="s">
        <v>22</v>
      </c>
      <c r="C33">
        <f t="shared" si="0"/>
        <v>0</v>
      </c>
      <c r="D33">
        <v>35</v>
      </c>
      <c r="E33">
        <v>0</v>
      </c>
    </row>
    <row r="35" spans="1:14" x14ac:dyDescent="0.2">
      <c r="A35" t="s">
        <v>41</v>
      </c>
      <c r="C35">
        <f>SUM(C21:C33)</f>
        <v>1592.5</v>
      </c>
      <c r="E35">
        <f>SUM(E21:E33)</f>
        <v>45.5</v>
      </c>
    </row>
    <row r="36" spans="1:14" x14ac:dyDescent="0.2">
      <c r="J36" s="4" t="s">
        <v>20</v>
      </c>
      <c r="K36" s="4" t="s">
        <v>25</v>
      </c>
      <c r="L36" s="4">
        <f>M36*N36</f>
        <v>262.5</v>
      </c>
      <c r="M36" s="4">
        <v>35</v>
      </c>
      <c r="N36" s="4">
        <v>7.5</v>
      </c>
    </row>
    <row r="37" spans="1:14" x14ac:dyDescent="0.2">
      <c r="C37">
        <f>SUM(K28,C35)</f>
        <v>1660.5</v>
      </c>
      <c r="J37" s="4" t="s">
        <v>21</v>
      </c>
      <c r="K37" s="4"/>
      <c r="L37" s="4"/>
      <c r="M37" s="4">
        <v>35</v>
      </c>
      <c r="N37" s="4"/>
    </row>
    <row r="38" spans="1:14" x14ac:dyDescent="0.2">
      <c r="J38" s="4" t="s">
        <v>30</v>
      </c>
      <c r="K38" s="4"/>
      <c r="L38" s="4"/>
      <c r="M38" s="4"/>
      <c r="N38" s="4"/>
    </row>
    <row r="39" spans="1:14" x14ac:dyDescent="0.2">
      <c r="A39" t="s">
        <v>48</v>
      </c>
      <c r="J39" s="4" t="s">
        <v>31</v>
      </c>
      <c r="K39" s="4" t="s">
        <v>22</v>
      </c>
      <c r="L39" s="4">
        <f>M39*N39</f>
        <v>280</v>
      </c>
      <c r="M39" s="4">
        <v>35</v>
      </c>
      <c r="N39" s="4">
        <v>8</v>
      </c>
    </row>
    <row r="40" spans="1:14" x14ac:dyDescent="0.2">
      <c r="A40" t="s">
        <v>49</v>
      </c>
      <c r="J40" s="4" t="s">
        <v>32</v>
      </c>
      <c r="K40" s="4" t="s">
        <v>22</v>
      </c>
      <c r="L40" s="4">
        <f t="shared" ref="L40" si="1">M40*N40</f>
        <v>280</v>
      </c>
      <c r="M40" s="4">
        <v>35</v>
      </c>
      <c r="N40" s="4">
        <v>8</v>
      </c>
    </row>
    <row r="41" spans="1:14" x14ac:dyDescent="0.2">
      <c r="A41" s="4" t="s">
        <v>50</v>
      </c>
      <c r="B41" s="4" t="s">
        <v>28</v>
      </c>
      <c r="C41" s="4">
        <f>D41*E41</f>
        <v>227.5</v>
      </c>
      <c r="D41" s="4">
        <v>35</v>
      </c>
      <c r="E41" s="4">
        <v>6.5</v>
      </c>
      <c r="J41" s="4" t="s">
        <v>33</v>
      </c>
      <c r="K41" s="4"/>
      <c r="L41" s="4"/>
      <c r="M41" s="4"/>
      <c r="N41" s="4"/>
    </row>
    <row r="42" spans="1:14" x14ac:dyDescent="0.2">
      <c r="A42" t="s">
        <v>51</v>
      </c>
      <c r="B42" t="s">
        <v>22</v>
      </c>
      <c r="C42">
        <f t="shared" ref="C42:C43" si="2">D42*E42</f>
        <v>280</v>
      </c>
      <c r="D42">
        <v>35</v>
      </c>
      <c r="E42">
        <v>8</v>
      </c>
      <c r="J42" s="4" t="s">
        <v>34</v>
      </c>
      <c r="K42" s="4"/>
      <c r="L42" s="4"/>
      <c r="M42" s="4"/>
      <c r="N42" s="4"/>
    </row>
    <row r="43" spans="1:14" x14ac:dyDescent="0.2">
      <c r="A43" t="s">
        <v>52</v>
      </c>
      <c r="C43">
        <f t="shared" si="2"/>
        <v>245</v>
      </c>
      <c r="D43">
        <v>35</v>
      </c>
      <c r="E43">
        <v>7</v>
      </c>
      <c r="J43" s="4" t="s">
        <v>35</v>
      </c>
      <c r="K43" s="4"/>
      <c r="L43" s="4"/>
      <c r="M43" s="4"/>
      <c r="N43" s="4"/>
    </row>
    <row r="44" spans="1:14" x14ac:dyDescent="0.2">
      <c r="J44" s="4" t="s">
        <v>42</v>
      </c>
      <c r="K44" s="4" t="s">
        <v>22</v>
      </c>
      <c r="L44" s="4">
        <f t="shared" ref="L44:L47" si="3">M44*N44</f>
        <v>280</v>
      </c>
      <c r="M44" s="4">
        <v>35</v>
      </c>
      <c r="N44" s="4">
        <v>8</v>
      </c>
    </row>
    <row r="45" spans="1:14" x14ac:dyDescent="0.2">
      <c r="A45" t="s">
        <v>53</v>
      </c>
      <c r="J45" s="4" t="s">
        <v>43</v>
      </c>
      <c r="K45" s="4" t="s">
        <v>7</v>
      </c>
      <c r="L45" s="4">
        <f t="shared" si="3"/>
        <v>245</v>
      </c>
      <c r="M45" s="4">
        <v>35</v>
      </c>
      <c r="N45" s="4">
        <v>7</v>
      </c>
    </row>
    <row r="46" spans="1:14" x14ac:dyDescent="0.2">
      <c r="A46" t="s">
        <v>54</v>
      </c>
      <c r="C46">
        <v>245</v>
      </c>
      <c r="J46" s="4" t="s">
        <v>44</v>
      </c>
      <c r="K46" s="4"/>
      <c r="L46" s="4">
        <f t="shared" si="3"/>
        <v>0</v>
      </c>
      <c r="M46" s="4">
        <v>35</v>
      </c>
      <c r="N46" s="4">
        <v>0</v>
      </c>
    </row>
    <row r="47" spans="1:14" x14ac:dyDescent="0.2">
      <c r="A47" t="s">
        <v>55</v>
      </c>
      <c r="C47">
        <v>245</v>
      </c>
      <c r="J47" s="4" t="s">
        <v>45</v>
      </c>
      <c r="K47" s="4" t="s">
        <v>47</v>
      </c>
      <c r="L47" s="4">
        <f t="shared" si="3"/>
        <v>245</v>
      </c>
      <c r="M47" s="4">
        <v>35</v>
      </c>
      <c r="N47" s="4">
        <v>7</v>
      </c>
    </row>
    <row r="48" spans="1:14" x14ac:dyDescent="0.2">
      <c r="A48" t="s">
        <v>56</v>
      </c>
      <c r="C48">
        <v>245</v>
      </c>
    </row>
    <row r="49" spans="1:12" x14ac:dyDescent="0.2">
      <c r="A49" t="s">
        <v>57</v>
      </c>
    </row>
    <row r="50" spans="1:12" x14ac:dyDescent="0.2">
      <c r="C50">
        <f>SUM(C39:C48)</f>
        <v>1487.5</v>
      </c>
    </row>
    <row r="51" spans="1:12" x14ac:dyDescent="0.2">
      <c r="J51" s="2" t="s">
        <v>58</v>
      </c>
      <c r="K51" s="2" t="s">
        <v>25</v>
      </c>
      <c r="L51" s="2">
        <v>7.5</v>
      </c>
    </row>
    <row r="52" spans="1:12" x14ac:dyDescent="0.2">
      <c r="B52">
        <f>280+245</f>
        <v>525</v>
      </c>
      <c r="J52" s="2" t="s">
        <v>31</v>
      </c>
      <c r="K52" s="2" t="s">
        <v>22</v>
      </c>
      <c r="L52" s="2">
        <v>8</v>
      </c>
    </row>
    <row r="53" spans="1:12" x14ac:dyDescent="0.2">
      <c r="J53" s="2" t="s">
        <v>32</v>
      </c>
      <c r="K53" s="2" t="s">
        <v>22</v>
      </c>
      <c r="L53" s="2">
        <v>8</v>
      </c>
    </row>
    <row r="55" spans="1:12" x14ac:dyDescent="0.2">
      <c r="J55" s="2" t="s">
        <v>42</v>
      </c>
      <c r="K55" s="2" t="s">
        <v>22</v>
      </c>
      <c r="L55" s="2">
        <v>8</v>
      </c>
    </row>
    <row r="56" spans="1:12" x14ac:dyDescent="0.2">
      <c r="J56" s="2" t="s">
        <v>43</v>
      </c>
      <c r="K56" s="2" t="s">
        <v>7</v>
      </c>
      <c r="L56" s="2">
        <v>7</v>
      </c>
    </row>
    <row r="57" spans="1:12" x14ac:dyDescent="0.2">
      <c r="J57" s="2" t="s">
        <v>45</v>
      </c>
      <c r="K57" s="2" t="s">
        <v>47</v>
      </c>
      <c r="L57" s="2">
        <v>7</v>
      </c>
    </row>
    <row r="58" spans="1:12" x14ac:dyDescent="0.2">
      <c r="J58" s="2"/>
      <c r="K58" s="2"/>
      <c r="L58" s="2"/>
    </row>
    <row r="59" spans="1:12" x14ac:dyDescent="0.2">
      <c r="J59" s="2" t="s">
        <v>59</v>
      </c>
      <c r="L59">
        <f>SUM(L51:L57)</f>
        <v>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2026-02-11T11:38:53Z</dcterms:created>
  <dcterms:modified xsi:type="dcterms:W3CDTF">2026-04-01T23:22:35Z</dcterms:modified>
</cp:coreProperties>
</file>